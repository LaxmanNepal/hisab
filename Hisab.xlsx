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120" windowWidth="16260" windowHeight="6912" tabRatio="947"/>
  </bookViews>
  <sheets>
    <sheet name="HOME" sheetId="1" r:id="rId1"/>
    <sheet name="Sheet2" sheetId="2" state="hidden" r:id="rId2"/>
    <sheet name="30-OCT" sheetId="4" r:id="rId3"/>
    <sheet name="31-OCT" sheetId="5" r:id="rId4"/>
    <sheet name="01-NOV" sheetId="6" r:id="rId5"/>
    <sheet name="02-NOV" sheetId="7" r:id="rId6"/>
    <sheet name="03-NOV" sheetId="8" r:id="rId7"/>
    <sheet name="04-NOV" sheetId="9" r:id="rId8"/>
    <sheet name="05-NOV" sheetId="10" r:id="rId9"/>
    <sheet name="06-NOV" sheetId="11" r:id="rId10"/>
    <sheet name="07-NOV" sheetId="12" r:id="rId11"/>
    <sheet name="08-NOV" sheetId="13" r:id="rId12"/>
    <sheet name="09-NOV" sheetId="14" r:id="rId13"/>
    <sheet name="10-NOV" sheetId="15" r:id="rId14"/>
    <sheet name="11-NOV" sheetId="16" r:id="rId15"/>
    <sheet name="12-NOV" sheetId="17" r:id="rId16"/>
    <sheet name="13-NOV" sheetId="18" r:id="rId17"/>
    <sheet name="14-NOV" sheetId="19" r:id="rId18"/>
    <sheet name="15-NOV" sheetId="20" r:id="rId19"/>
    <sheet name="16-NOV" sheetId="21" r:id="rId20"/>
    <sheet name="17-NOV" sheetId="22" r:id="rId21"/>
    <sheet name="18-NOV" sheetId="23" r:id="rId22"/>
    <sheet name="19-NOV" sheetId="24" r:id="rId23"/>
    <sheet name="20-NOV" sheetId="25" r:id="rId24"/>
    <sheet name="21-NOV" sheetId="26" r:id="rId25"/>
    <sheet name="22-NOV" sheetId="27" r:id="rId26"/>
    <sheet name="23-NOV" sheetId="28" r:id="rId27"/>
    <sheet name="24-NOV" sheetId="29" r:id="rId28"/>
    <sheet name="25-NOV" sheetId="30" r:id="rId29"/>
    <sheet name="26-NOV" sheetId="31" r:id="rId30"/>
    <sheet name="27-NOV" sheetId="32" r:id="rId31"/>
    <sheet name="28-NOV" sheetId="33" r:id="rId32"/>
    <sheet name="29-NOV" sheetId="34" r:id="rId33"/>
    <sheet name="30-NOV" sheetId="35" r:id="rId34"/>
  </sheets>
  <calcPr calcId="144525"/>
</workbook>
</file>

<file path=xl/calcChain.xml><?xml version="1.0" encoding="utf-8"?>
<calcChain xmlns="http://schemas.openxmlformats.org/spreadsheetml/2006/main">
  <c r="C16" i="4" l="1"/>
  <c r="C8" i="4"/>
  <c r="K12" i="4" s="1"/>
  <c r="K13" i="4" s="1"/>
  <c r="C15" i="4" l="1"/>
  <c r="C15" i="5"/>
  <c r="C15" i="6"/>
  <c r="C15" i="7"/>
  <c r="C15" i="8"/>
  <c r="C15" i="9"/>
  <c r="C15" i="10"/>
  <c r="C15" i="11"/>
  <c r="C15" i="12"/>
  <c r="C15" i="13"/>
  <c r="C15" i="14"/>
  <c r="C15" i="15"/>
  <c r="C15" i="16"/>
  <c r="C15" i="17"/>
  <c r="C15" i="18"/>
  <c r="C15" i="19"/>
  <c r="C15" i="20"/>
  <c r="C15" i="21"/>
  <c r="C15" i="22"/>
  <c r="C15" i="23"/>
  <c r="C15" i="24"/>
  <c r="C15" i="25"/>
  <c r="C15" i="26"/>
  <c r="C15" i="27"/>
  <c r="C15" i="28"/>
  <c r="C15" i="29"/>
  <c r="C15" i="30"/>
  <c r="C15" i="31"/>
  <c r="C15" i="32"/>
  <c r="C15" i="33"/>
  <c r="C15" i="34"/>
  <c r="C15" i="35"/>
  <c r="D16" i="5"/>
  <c r="D16" i="6"/>
  <c r="D16" i="7"/>
  <c r="D16" i="8"/>
  <c r="D16" i="9"/>
  <c r="D16" i="10"/>
  <c r="D16" i="11"/>
  <c r="D16" i="12"/>
  <c r="D16" i="13"/>
  <c r="D16" i="14"/>
  <c r="D16" i="15"/>
  <c r="D16" i="16"/>
  <c r="D16" i="17"/>
  <c r="D16" i="18"/>
  <c r="D16" i="19"/>
  <c r="D16" i="20"/>
  <c r="D16" i="21"/>
  <c r="D16" i="22"/>
  <c r="D16" i="23"/>
  <c r="D16" i="24"/>
  <c r="D16" i="25"/>
  <c r="D16" i="26"/>
  <c r="D16" i="27"/>
  <c r="D16" i="28"/>
  <c r="D16" i="29"/>
  <c r="D16" i="30"/>
  <c r="D16" i="31"/>
  <c r="D16" i="32"/>
  <c r="D16" i="33"/>
  <c r="D16" i="34"/>
  <c r="D16" i="35"/>
  <c r="D16" i="4"/>
  <c r="C16" i="5"/>
  <c r="C16" i="6"/>
  <c r="C16" i="7"/>
  <c r="C16" i="8"/>
  <c r="C16" i="9"/>
  <c r="C16" i="10"/>
  <c r="C16" i="11"/>
  <c r="C16" i="12"/>
  <c r="C16" i="13"/>
  <c r="C16" i="14"/>
  <c r="C16" i="15"/>
  <c r="C16" i="16"/>
  <c r="C16" i="17"/>
  <c r="C16" i="18"/>
  <c r="C16" i="19"/>
  <c r="C16" i="20"/>
  <c r="C16" i="21"/>
  <c r="C16" i="22"/>
  <c r="C16" i="23"/>
  <c r="C16" i="24"/>
  <c r="C16" i="25"/>
  <c r="C16" i="26"/>
  <c r="C16" i="27"/>
  <c r="C16" i="28"/>
  <c r="C16" i="29"/>
  <c r="C16" i="30"/>
  <c r="C16" i="31"/>
  <c r="C16" i="32"/>
  <c r="C16" i="33"/>
  <c r="C16" i="34"/>
  <c r="C16" i="35"/>
  <c r="A4" i="4"/>
  <c r="A4" i="5"/>
  <c r="A4" i="6"/>
  <c r="A4" i="7"/>
  <c r="A4" i="8"/>
  <c r="A4" i="9"/>
  <c r="A4" i="10"/>
  <c r="A4" i="11"/>
  <c r="A4" i="12"/>
  <c r="A4" i="13"/>
  <c r="A4" i="14"/>
  <c r="A4" i="15"/>
  <c r="A4" i="16"/>
  <c r="A4" i="17"/>
  <c r="A4" i="18"/>
  <c r="A4" i="19"/>
  <c r="A4" i="20"/>
  <c r="A4" i="21"/>
  <c r="A4" i="22"/>
  <c r="A4" i="23"/>
  <c r="A4" i="24"/>
  <c r="A4" i="25"/>
  <c r="A4" i="26"/>
  <c r="A4" i="27"/>
  <c r="A4" i="28"/>
  <c r="A4" i="29"/>
  <c r="A4" i="30"/>
  <c r="A4" i="31"/>
  <c r="A4" i="32"/>
  <c r="A4" i="33"/>
  <c r="A4" i="34"/>
  <c r="A4" i="35"/>
  <c r="A4" i="2"/>
  <c r="G3" i="2"/>
  <c r="G2" i="2"/>
  <c r="A2" i="2"/>
  <c r="A3" i="2"/>
</calcChain>
</file>

<file path=xl/sharedStrings.xml><?xml version="1.0" encoding="utf-8"?>
<sst xmlns="http://schemas.openxmlformats.org/spreadsheetml/2006/main" count="326" uniqueCount="45">
  <si>
    <t>क्र.स.</t>
  </si>
  <si>
    <t>मिति</t>
  </si>
  <si>
    <t>समान किनेको</t>
  </si>
  <si>
    <t>रकम</t>
  </si>
  <si>
    <t>व्यक्ति</t>
  </si>
  <si>
    <t>भुक्तानी गरेको मिति</t>
  </si>
  <si>
    <t>मौज्दात</t>
  </si>
  <si>
    <t>-</t>
  </si>
  <si>
    <t>बाँकी रकम</t>
  </si>
  <si>
    <t>नेस्टो</t>
  </si>
  <si>
    <t>टोपेन्द्र</t>
  </si>
  <si>
    <t>राजु मिश्र</t>
  </si>
  <si>
    <t>विवरण</t>
  </si>
  <si>
    <t>डेविट रकम</t>
  </si>
  <si>
    <t>क्रेडिट रकम</t>
  </si>
  <si>
    <t>कैफियत</t>
  </si>
  <si>
    <t>दैनिक गोश्वारा भौचर</t>
  </si>
  <si>
    <t>35 KD मुद्धती</t>
  </si>
  <si>
    <t>जम्मा रकम</t>
  </si>
  <si>
    <t>बाकी मौज्दात</t>
  </si>
  <si>
    <t>SUN</t>
  </si>
  <si>
    <t>MON</t>
  </si>
  <si>
    <t>TUE</t>
  </si>
  <si>
    <t>WED</t>
  </si>
  <si>
    <t>THU</t>
  </si>
  <si>
    <t>FRI</t>
  </si>
  <si>
    <t>SAT</t>
  </si>
  <si>
    <t>HOME</t>
  </si>
  <si>
    <t>नगद</t>
  </si>
  <si>
    <t>टोपजी</t>
  </si>
  <si>
    <t>अन्तिम मौज्दात</t>
  </si>
  <si>
    <t xml:space="preserve">राजु सरबाट मौजदात लिँदा खेरी नै -7.159 KD रहेको छ । </t>
  </si>
  <si>
    <t>तिर्न बाँकी</t>
  </si>
  <si>
    <t>राजु सरको डिसेम्बरको भाडा</t>
  </si>
  <si>
    <t>अन्तिम मौज्दात भुक्तानी</t>
  </si>
  <si>
    <t>तेलको भुक्तानी</t>
  </si>
  <si>
    <t>बाकी रकम</t>
  </si>
  <si>
    <t>जम्मा</t>
  </si>
  <si>
    <t>पुँजी खाता</t>
  </si>
  <si>
    <t>नगद (शुरुको मौज्दात)</t>
  </si>
  <si>
    <t>पुँजी खाता (अन्तिम मौज्दात)</t>
  </si>
  <si>
    <t>खरिद {नेस्टोबाट समान (टोपेन्द्र जी)}</t>
  </si>
  <si>
    <t>अग्रीम भुक्तानी घरभाडा (Dec)</t>
  </si>
  <si>
    <t>नगद (राजु सर )</t>
  </si>
  <si>
    <t>नोभेम्बरको भाडा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</si>
</sst>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yy;@"/>
    <numFmt numFmtId="165" formatCode="#,###.000\ &quot;KD&quot;"/>
    <numFmt numFmtId="166" formatCode="#,##0.000\ &quot;KD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u/>
      <sz val="11"/>
      <color theme="10"/>
      <name val="Calibri"/>
      <family val="2"/>
      <scheme val="minor"/>
    </font>
    <font>
      <sz val="16"/>
      <color theme="0"/>
      <name val="Poppins"/>
    </font>
    <font>
      <sz val="9"/>
      <color theme="1"/>
      <name val="Poppins"/>
    </font>
    <font>
      <b/>
      <sz val="11"/>
      <color theme="0"/>
      <name val="Poppins"/>
    </font>
    <font>
      <sz val="11"/>
      <color theme="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6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/>
    <xf numFmtId="0" fontId="1" fillId="5" borderId="1" xfId="0" applyFont="1" applyFill="1" applyBorder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showGridLines="0" tabSelected="1" zoomScale="175" zoomScaleNormal="175" workbookViewId="0">
      <selection activeCell="G3" sqref="G3"/>
    </sheetView>
  </sheetViews>
  <sheetFormatPr defaultRowHeight="14.4" x14ac:dyDescent="0.3"/>
  <sheetData>
    <row r="2" spans="2:8" ht="20.399999999999999" x14ac:dyDescent="0.3"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</row>
    <row r="3" spans="2:8" ht="20.399999999999999" x14ac:dyDescent="0.3">
      <c r="B3" s="11"/>
      <c r="C3" s="11"/>
      <c r="D3" s="11"/>
      <c r="E3" s="11"/>
      <c r="F3" s="11"/>
      <c r="G3" s="12">
        <v>30</v>
      </c>
      <c r="H3" s="12">
        <v>31</v>
      </c>
    </row>
    <row r="4" spans="2:8" ht="20.399999999999999" x14ac:dyDescent="0.3"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</row>
    <row r="5" spans="2:8" ht="20.399999999999999" x14ac:dyDescent="0.3">
      <c r="B5" s="12">
        <v>8</v>
      </c>
      <c r="C5" s="12">
        <v>9</v>
      </c>
      <c r="D5" s="12">
        <v>10</v>
      </c>
      <c r="E5" s="12">
        <v>11</v>
      </c>
      <c r="F5" s="12">
        <v>12</v>
      </c>
      <c r="G5" s="12">
        <v>13</v>
      </c>
      <c r="H5" s="12">
        <v>14</v>
      </c>
    </row>
    <row r="6" spans="2:8" ht="20.399999999999999" x14ac:dyDescent="0.3">
      <c r="B6" s="12">
        <v>15</v>
      </c>
      <c r="C6" s="12">
        <v>16</v>
      </c>
      <c r="D6" s="12">
        <v>17</v>
      </c>
      <c r="E6" s="12">
        <v>18</v>
      </c>
      <c r="F6" s="12">
        <v>19</v>
      </c>
      <c r="G6" s="12">
        <v>20</v>
      </c>
      <c r="H6" s="12">
        <v>21</v>
      </c>
    </row>
    <row r="7" spans="2:8" ht="20.399999999999999" x14ac:dyDescent="0.3">
      <c r="B7" s="12">
        <v>22</v>
      </c>
      <c r="C7" s="12">
        <v>23</v>
      </c>
      <c r="D7" s="12">
        <v>24</v>
      </c>
      <c r="E7" s="12">
        <v>25</v>
      </c>
      <c r="F7" s="12">
        <v>26</v>
      </c>
      <c r="G7" s="12">
        <v>27</v>
      </c>
      <c r="H7" s="12">
        <v>28</v>
      </c>
    </row>
    <row r="8" spans="2:8" ht="20.399999999999999" x14ac:dyDescent="0.3">
      <c r="B8" s="12">
        <v>29</v>
      </c>
      <c r="C8" s="12">
        <v>30</v>
      </c>
      <c r="D8" s="11"/>
      <c r="E8" s="11"/>
      <c r="F8" s="11"/>
      <c r="G8" s="11"/>
      <c r="H8" s="11"/>
    </row>
  </sheetData>
  <hyperlinks>
    <hyperlink ref="G3" location="'30-OCT'!A1" display="'30-OCT'!A1"/>
    <hyperlink ref="H3" location="'31-OCT'!A1" display="'31-OCT'!A1"/>
    <hyperlink ref="B4" location="'01-NOV'!A1" display="'01-NOV'!A1"/>
    <hyperlink ref="C4" location="'02-NOV'!A1" display="'02-NOV'!A1"/>
    <hyperlink ref="D4" location="'03-NOV'!A1" display="'03-NOV'!A1"/>
    <hyperlink ref="E4" location="'04-NOV'!A1" display="'04-NOV'!A1"/>
    <hyperlink ref="F4" location="'05-NOV'!A1" display="'05-NOV'!A1"/>
    <hyperlink ref="G4" location="'06-NOV'!A1" display="'06-NOV'!A1"/>
    <hyperlink ref="H4" location="'07-NOV'!A1" display="'07-NOV'!A1"/>
    <hyperlink ref="B5" location="'08-NOV'!A1" display="'08-NOV'!A1"/>
    <hyperlink ref="C5" location="'09-NOV'!A1" display="'09-NOV'!A1"/>
    <hyperlink ref="D5" location="'10-NOV'!A1" display="'10-NOV'!A1"/>
    <hyperlink ref="E5" location="'11-NOV'!A1" display="'11-NOV'!A1"/>
    <hyperlink ref="F5" location="'12-NOV'!A1" display="'12-NOV'!A1"/>
    <hyperlink ref="G5" location="'13-NOV'!A1" display="'13-NOV'!A1"/>
    <hyperlink ref="H5" location="'14-NOV'!A1" display="'14-NOV'!A1"/>
    <hyperlink ref="B6" location="'15-NOV'!A1" display="'15-NOV'!A1"/>
    <hyperlink ref="C6" location="'16-NOV'!A1" display="'16-NOV'!A1"/>
    <hyperlink ref="D6" location="'17-NOV'!A1" display="'17-NOV'!A1"/>
    <hyperlink ref="E6" location="'18-NOV'!A1" display="'18-NOV'!A1"/>
    <hyperlink ref="F6" location="'19-NOV'!A1" display="'19-NOV'!A1"/>
    <hyperlink ref="G6" location="'20-NOV'!A1" display="'20-NOV'!A1"/>
    <hyperlink ref="H6" location="'21-NOV'!A1" display="'21-NOV'!A1"/>
    <hyperlink ref="B7" location="'22-NOV'!A1" display="'22-NOV'!A1"/>
    <hyperlink ref="C7" location="'23-NOV'!A1" display="'23-NOV'!A1"/>
    <hyperlink ref="D7" location="'24-NOV'!A1" display="'24-NOV'!A1"/>
    <hyperlink ref="E7" location="'25-NOV'!A1" display="'25-NOV'!A1"/>
    <hyperlink ref="F7" location="'26-NOV'!A1" display="'26-NOV'!A1"/>
    <hyperlink ref="G7" location="'27-NOV'!A1" display="'27-NOV'!A1"/>
    <hyperlink ref="H7" location="'28-NOV'!A1" display="'28-NOV'!A1"/>
    <hyperlink ref="B8" location="'29-NOV'!A1" display="'29-NOV'!A1"/>
    <hyperlink ref="C8" location="'30-NOV'!A1" display="'30-NOV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250" zoomScaleNormal="250" workbookViewId="0">
      <selection activeCell="D4" sqref="D4"/>
    </sheetView>
  </sheetViews>
  <sheetFormatPr defaultRowHeight="20.399999999999999" x14ac:dyDescent="0.7"/>
  <cols>
    <col min="1" max="1" width="5.5546875" style="2" bestFit="1" customWidth="1"/>
    <col min="2" max="2" width="13.88671875" style="4" bestFit="1" customWidth="1"/>
    <col min="3" max="3" width="13.88671875" style="2" bestFit="1" customWidth="1"/>
    <col min="4" max="4" width="10.77734375" style="6" bestFit="1" customWidth="1"/>
    <col min="5" max="5" width="6.109375" style="1" bestFit="1" customWidth="1"/>
    <col min="6" max="6" width="18.33203125" style="1" bestFit="1" customWidth="1"/>
    <col min="7" max="7" width="10.88671875" style="5" bestFit="1" customWidth="1"/>
    <col min="8" max="16384" width="8.88671875" style="1"/>
  </cols>
  <sheetData>
    <row r="1" spans="1:7" s="2" customFormat="1" x14ac:dyDescent="0.3">
      <c r="A1" s="2" t="s">
        <v>0</v>
      </c>
      <c r="B1" s="3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5" t="s">
        <v>8</v>
      </c>
    </row>
    <row r="2" spans="1:7" s="2" customFormat="1" x14ac:dyDescent="0.3">
      <c r="A2" s="2">
        <f>IF(B2="","",ROW()-1)</f>
        <v>1</v>
      </c>
      <c r="B2" s="3">
        <v>46324</v>
      </c>
      <c r="C2" s="2" t="s">
        <v>6</v>
      </c>
      <c r="D2" s="5">
        <v>7.1589999999999998</v>
      </c>
      <c r="E2" s="2" t="s">
        <v>7</v>
      </c>
      <c r="F2" s="2" t="s">
        <v>7</v>
      </c>
      <c r="G2" s="5">
        <f>D2</f>
        <v>7.1589999999999998</v>
      </c>
    </row>
    <row r="3" spans="1:7" s="2" customFormat="1" x14ac:dyDescent="0.3">
      <c r="A3" s="2">
        <f>IF(B3="","",ROW()-1)</f>
        <v>2</v>
      </c>
      <c r="B3" s="3">
        <v>46324</v>
      </c>
      <c r="C3" s="2" t="s">
        <v>9</v>
      </c>
      <c r="D3" s="5">
        <v>25.43</v>
      </c>
      <c r="E3" s="2" t="s">
        <v>10</v>
      </c>
      <c r="F3" s="2" t="s">
        <v>7</v>
      </c>
      <c r="G3" s="5">
        <f>G2-D3</f>
        <v>-18.271000000000001</v>
      </c>
    </row>
    <row r="4" spans="1:7" x14ac:dyDescent="0.7">
      <c r="A4" s="2">
        <f>IF(B4="","",ROW()-1)</f>
        <v>3</v>
      </c>
      <c r="B4" s="3">
        <v>46324</v>
      </c>
      <c r="C4" s="2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zoomScale="130" zoomScaleNormal="130" workbookViewId="0">
      <selection activeCell="K30" sqref="K30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12.6640625" style="1" bestFit="1" customWidth="1"/>
    <col min="6" max="10" width="8.88671875" style="1"/>
    <col min="11" max="11" width="10.77734375" style="1" bestFit="1" customWidth="1"/>
    <col min="12" max="16384" width="8.88671875" style="1"/>
  </cols>
  <sheetData>
    <row r="1" spans="1:11" ht="19.2" customHeight="1" x14ac:dyDescent="0.7">
      <c r="A1" s="17">
        <v>46325</v>
      </c>
      <c r="B1" s="17"/>
      <c r="C1" s="17"/>
      <c r="D1" s="17"/>
      <c r="E1" s="17"/>
    </row>
    <row r="2" spans="1:11" ht="36.6" customHeight="1" x14ac:dyDescent="0.7">
      <c r="A2" s="16" t="s">
        <v>16</v>
      </c>
      <c r="B2" s="16"/>
      <c r="C2" s="16"/>
      <c r="D2" s="16"/>
      <c r="E2" s="16"/>
    </row>
    <row r="3" spans="1:11" x14ac:dyDescent="0.7">
      <c r="A3" s="36" t="s">
        <v>0</v>
      </c>
      <c r="B3" s="36" t="s">
        <v>12</v>
      </c>
      <c r="C3" s="37" t="s">
        <v>13</v>
      </c>
      <c r="D3" s="37" t="s">
        <v>14</v>
      </c>
      <c r="E3" s="36" t="s">
        <v>15</v>
      </c>
      <c r="H3" s="13" t="s">
        <v>27</v>
      </c>
    </row>
    <row r="4" spans="1:11" x14ac:dyDescent="0.7">
      <c r="A4" s="22">
        <f>IF(B4="","",ROW()-3)</f>
        <v>1</v>
      </c>
      <c r="B4" s="23" t="s">
        <v>39</v>
      </c>
      <c r="C4" s="24">
        <v>-7.1589999999999998</v>
      </c>
      <c r="D4" s="24"/>
      <c r="E4" s="22"/>
    </row>
    <row r="5" spans="1:11" x14ac:dyDescent="0.7">
      <c r="A5" s="22"/>
      <c r="B5" s="38" t="s">
        <v>38</v>
      </c>
      <c r="C5" s="25"/>
      <c r="D5" s="25">
        <v>-7.1589999999999998</v>
      </c>
      <c r="E5" s="26"/>
    </row>
    <row r="6" spans="1:11" x14ac:dyDescent="0.7">
      <c r="A6" s="8">
        <v>2</v>
      </c>
      <c r="B6" s="21" t="s">
        <v>43</v>
      </c>
      <c r="C6" s="20"/>
      <c r="D6" s="9">
        <v>58.954000000000001</v>
      </c>
      <c r="E6" s="8" t="s">
        <v>17</v>
      </c>
    </row>
    <row r="7" spans="1:11" x14ac:dyDescent="0.7">
      <c r="A7" s="8"/>
      <c r="B7" s="8" t="s">
        <v>42</v>
      </c>
      <c r="C7" s="9">
        <v>35</v>
      </c>
      <c r="D7" s="9"/>
      <c r="E7" s="8"/>
      <c r="H7" s="1" t="s">
        <v>31</v>
      </c>
    </row>
    <row r="8" spans="1:11" x14ac:dyDescent="0.7">
      <c r="A8" s="8"/>
      <c r="B8" s="8" t="s">
        <v>44</v>
      </c>
      <c r="C8" s="9">
        <f>D6-C7</f>
        <v>23.954000000000001</v>
      </c>
      <c r="D8" s="9"/>
      <c r="E8" s="8"/>
    </row>
    <row r="9" spans="1:11" x14ac:dyDescent="0.7">
      <c r="A9" s="22">
        <v>3</v>
      </c>
      <c r="B9" s="23" t="s">
        <v>41</v>
      </c>
      <c r="C9" s="24">
        <v>25.43</v>
      </c>
      <c r="D9" s="24"/>
      <c r="E9" s="23"/>
      <c r="H9" s="32" t="s">
        <v>33</v>
      </c>
      <c r="I9" s="33"/>
      <c r="J9" s="33"/>
      <c r="K9" s="34"/>
    </row>
    <row r="10" spans="1:11" x14ac:dyDescent="0.7">
      <c r="A10" s="22"/>
      <c r="B10" s="35" t="s">
        <v>29</v>
      </c>
      <c r="C10" s="24"/>
      <c r="D10" s="24">
        <v>25.43</v>
      </c>
      <c r="E10" s="23" t="s">
        <v>32</v>
      </c>
      <c r="H10" s="32" t="s">
        <v>35</v>
      </c>
      <c r="I10" s="33"/>
      <c r="J10" s="34"/>
      <c r="K10" s="20">
        <v>1.5</v>
      </c>
    </row>
    <row r="11" spans="1:11" x14ac:dyDescent="0.7">
      <c r="A11" s="8">
        <v>4</v>
      </c>
      <c r="B11" s="21" t="s">
        <v>40</v>
      </c>
      <c r="C11" s="9">
        <v>-8.6349999999999998</v>
      </c>
      <c r="D11" s="9"/>
      <c r="E11" s="8"/>
      <c r="H11" s="32" t="s">
        <v>34</v>
      </c>
      <c r="I11" s="33"/>
      <c r="J11" s="34"/>
      <c r="K11" s="20">
        <v>9.5459999999999994</v>
      </c>
    </row>
    <row r="12" spans="1:11" x14ac:dyDescent="0.7">
      <c r="A12" s="8"/>
      <c r="B12" s="8" t="s">
        <v>28</v>
      </c>
      <c r="C12" s="9"/>
      <c r="D12" s="9">
        <v>-8.6349999999999998</v>
      </c>
      <c r="E12" s="8"/>
      <c r="H12" s="32" t="s">
        <v>36</v>
      </c>
      <c r="I12" s="33"/>
      <c r="J12" s="34"/>
      <c r="K12" s="20">
        <f>C8</f>
        <v>23.954000000000001</v>
      </c>
    </row>
    <row r="13" spans="1:11" x14ac:dyDescent="0.7">
      <c r="A13" s="8"/>
      <c r="B13" s="8"/>
      <c r="C13" s="9"/>
      <c r="D13" s="9"/>
      <c r="E13" s="8"/>
      <c r="H13" s="32" t="s">
        <v>37</v>
      </c>
      <c r="I13" s="33"/>
      <c r="J13" s="34"/>
      <c r="K13" s="20">
        <f>SUM(K10:K12)</f>
        <v>35</v>
      </c>
    </row>
    <row r="14" spans="1:11" x14ac:dyDescent="0.7">
      <c r="A14" s="8"/>
      <c r="B14" s="8"/>
      <c r="C14" s="31"/>
      <c r="D14" s="31"/>
      <c r="E14" s="8"/>
    </row>
    <row r="15" spans="1:11" x14ac:dyDescent="0.7">
      <c r="A15" s="8"/>
      <c r="B15" s="8" t="s">
        <v>30</v>
      </c>
      <c r="C15" s="18">
        <f>C4-C9+C8</f>
        <v>-8.634999999999998</v>
      </c>
      <c r="D15" s="19"/>
      <c r="E15" s="8"/>
    </row>
    <row r="16" spans="1:11" x14ac:dyDescent="0.7">
      <c r="A16" s="27" t="s">
        <v>18</v>
      </c>
      <c r="B16" s="28"/>
      <c r="C16" s="29">
        <f>SUM(C4:C13)</f>
        <v>68.589999999999989</v>
      </c>
      <c r="D16" s="29">
        <f>SUM(D4:D14)</f>
        <v>68.589999999999989</v>
      </c>
      <c r="E16" s="30"/>
    </row>
  </sheetData>
  <mergeCells count="9">
    <mergeCell ref="H9:K9"/>
    <mergeCell ref="H10:J10"/>
    <mergeCell ref="H11:J11"/>
    <mergeCell ref="H12:J12"/>
    <mergeCell ref="H13:J13"/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46326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zoomScale="130" zoomScaleNormal="130" workbookViewId="0">
      <selection activeCell="H3" sqref="H3"/>
    </sheetView>
  </sheetViews>
  <sheetFormatPr defaultRowHeight="20.399999999999999" x14ac:dyDescent="0.7"/>
  <cols>
    <col min="1" max="1" width="5.5546875" style="2" bestFit="1" customWidth="1"/>
    <col min="2" max="2" width="35.44140625" style="1" customWidth="1"/>
    <col min="3" max="3" width="10.88671875" style="7" customWidth="1"/>
    <col min="4" max="4" width="11.77734375" style="7" customWidth="1"/>
    <col min="5" max="5" width="8.5546875" style="1" customWidth="1"/>
    <col min="6" max="16384" width="8.88671875" style="1"/>
  </cols>
  <sheetData>
    <row r="1" spans="1:8" ht="19.2" customHeight="1" x14ac:dyDescent="0.7">
      <c r="A1" s="17">
        <v>46325</v>
      </c>
      <c r="B1" s="17"/>
      <c r="C1" s="17"/>
      <c r="D1" s="17"/>
      <c r="E1" s="17"/>
    </row>
    <row r="2" spans="1:8" ht="36.6" customHeight="1" x14ac:dyDescent="0.7">
      <c r="A2" s="16" t="s">
        <v>16</v>
      </c>
      <c r="B2" s="16"/>
      <c r="C2" s="16"/>
      <c r="D2" s="16"/>
      <c r="E2" s="16"/>
    </row>
    <row r="3" spans="1:8" x14ac:dyDescent="0.7">
      <c r="A3" s="8" t="s">
        <v>0</v>
      </c>
      <c r="B3" s="8" t="s">
        <v>12</v>
      </c>
      <c r="C3" s="9" t="s">
        <v>13</v>
      </c>
      <c r="D3" s="9" t="s">
        <v>14</v>
      </c>
      <c r="E3" s="8" t="s">
        <v>15</v>
      </c>
      <c r="H3" s="13" t="s">
        <v>27</v>
      </c>
    </row>
    <row r="4" spans="1:8" x14ac:dyDescent="0.7">
      <c r="A4" s="8" t="str">
        <f>IF(B4="","",ROW()-2)</f>
        <v/>
      </c>
      <c r="B4" s="8"/>
      <c r="C4" s="9"/>
      <c r="D4" s="9"/>
      <c r="E4" s="8"/>
    </row>
    <row r="5" spans="1:8" x14ac:dyDescent="0.7">
      <c r="A5" s="8"/>
      <c r="B5" s="8"/>
      <c r="C5" s="9"/>
      <c r="D5" s="9"/>
      <c r="E5" s="8"/>
    </row>
    <row r="6" spans="1:8" x14ac:dyDescent="0.7">
      <c r="A6" s="8"/>
      <c r="B6" s="8"/>
      <c r="C6" s="9"/>
      <c r="D6" s="9"/>
      <c r="E6" s="8"/>
    </row>
    <row r="7" spans="1:8" x14ac:dyDescent="0.7">
      <c r="A7" s="8"/>
      <c r="B7" s="8"/>
      <c r="C7" s="9"/>
      <c r="D7" s="9"/>
      <c r="E7" s="8"/>
    </row>
    <row r="8" spans="1:8" x14ac:dyDescent="0.7">
      <c r="A8" s="8"/>
      <c r="B8" s="8"/>
      <c r="C8" s="9"/>
      <c r="D8" s="9"/>
      <c r="E8" s="8"/>
    </row>
    <row r="9" spans="1:8" x14ac:dyDescent="0.7">
      <c r="A9" s="8"/>
      <c r="B9" s="8"/>
      <c r="C9" s="9"/>
      <c r="D9" s="9"/>
      <c r="E9" s="8"/>
    </row>
    <row r="10" spans="1:8" x14ac:dyDescent="0.7">
      <c r="A10" s="8"/>
      <c r="B10" s="8"/>
      <c r="C10" s="9"/>
      <c r="D10" s="9"/>
      <c r="E10" s="8"/>
    </row>
    <row r="11" spans="1:8" x14ac:dyDescent="0.7">
      <c r="A11" s="8"/>
      <c r="B11" s="8"/>
      <c r="C11" s="9"/>
      <c r="D11" s="9"/>
      <c r="E11" s="8"/>
    </row>
    <row r="12" spans="1:8" x14ac:dyDescent="0.7">
      <c r="A12" s="8"/>
      <c r="B12" s="8"/>
      <c r="C12" s="9"/>
      <c r="D12" s="9"/>
      <c r="E12" s="8"/>
    </row>
    <row r="13" spans="1:8" x14ac:dyDescent="0.7">
      <c r="A13" s="8"/>
      <c r="B13" s="8"/>
      <c r="C13" s="9"/>
      <c r="D13" s="9"/>
      <c r="E13" s="8"/>
    </row>
    <row r="14" spans="1:8" x14ac:dyDescent="0.7">
      <c r="A14" s="8"/>
      <c r="B14" s="8"/>
      <c r="C14" s="9"/>
      <c r="D14" s="9"/>
      <c r="E14" s="8"/>
    </row>
    <row r="15" spans="1:8" x14ac:dyDescent="0.7">
      <c r="A15" s="8"/>
      <c r="B15" s="8" t="s">
        <v>19</v>
      </c>
      <c r="C15" s="18">
        <f>D16-C16</f>
        <v>0</v>
      </c>
      <c r="D15" s="19"/>
      <c r="E15" s="8"/>
    </row>
    <row r="16" spans="1:8" x14ac:dyDescent="0.7">
      <c r="A16" s="14" t="s">
        <v>18</v>
      </c>
      <c r="B16" s="15"/>
      <c r="C16" s="9">
        <f>SUM(C4:C14)</f>
        <v>0</v>
      </c>
      <c r="D16" s="9">
        <f>SUM(D4:D14)</f>
        <v>0</v>
      </c>
      <c r="E16" s="8"/>
    </row>
  </sheetData>
  <mergeCells count="4">
    <mergeCell ref="A16:B16"/>
    <mergeCell ref="A2:E2"/>
    <mergeCell ref="A1:E1"/>
    <mergeCell ref="C15:D15"/>
  </mergeCells>
  <hyperlinks>
    <hyperlink ref="H3" location="HOME!A1" display="HOME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HOME</vt:lpstr>
      <vt:lpstr>Sheet2</vt:lpstr>
      <vt:lpstr>30-OCT</vt:lpstr>
      <vt:lpstr>31-OCT</vt:lpstr>
      <vt:lpstr>01-NOV</vt:lpstr>
      <vt:lpstr>02-NOV</vt:lpstr>
      <vt:lpstr>03-NOV</vt:lpstr>
      <vt:lpstr>04-NOV</vt:lpstr>
      <vt:lpstr>05-NOV</vt:lpstr>
      <vt:lpstr>06-NOV</vt:lpstr>
      <vt:lpstr>07-NOV</vt:lpstr>
      <vt:lpstr>08-NOV</vt:lpstr>
      <vt:lpstr>09-NOV</vt:lpstr>
      <vt:lpstr>10-NOV</vt:lpstr>
      <vt:lpstr>11-NOV</vt:lpstr>
      <vt:lpstr>12-NOV</vt:lpstr>
      <vt:lpstr>13-NOV</vt:lpstr>
      <vt:lpstr>14-NOV</vt:lpstr>
      <vt:lpstr>15-NOV</vt:lpstr>
      <vt:lpstr>16-NOV</vt:lpstr>
      <vt:lpstr>17-NOV</vt:lpstr>
      <vt:lpstr>18-NOV</vt:lpstr>
      <vt:lpstr>19-NOV</vt:lpstr>
      <vt:lpstr>20-NOV</vt:lpstr>
      <vt:lpstr>21-NOV</vt:lpstr>
      <vt:lpstr>22-NOV</vt:lpstr>
      <vt:lpstr>23-NOV</vt:lpstr>
      <vt:lpstr>24-NOV</vt:lpstr>
      <vt:lpstr>25-NOV</vt:lpstr>
      <vt:lpstr>26-NOV</vt:lpstr>
      <vt:lpstr>27-NOV</vt:lpstr>
      <vt:lpstr>28-NOV</vt:lpstr>
      <vt:lpstr>29-NOV</vt:lpstr>
      <vt:lpstr>30-NOV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2026-10-29T21:47:45Z</dcterms:created>
  <dcterms:modified xsi:type="dcterms:W3CDTF">2026-10-29T23:47:36Z</dcterms:modified>
</cp:coreProperties>
</file>